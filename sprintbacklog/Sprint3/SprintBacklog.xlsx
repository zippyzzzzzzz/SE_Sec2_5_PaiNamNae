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/>
  <mc:AlternateContent xmlns:mc="http://schemas.openxmlformats.org/markup-compatibility/2006">
    <mc:Choice Requires="x15">
      <x15ac:absPath xmlns:x15ac="http://schemas.microsoft.com/office/spreadsheetml/2010/11/ac" url="https://kkumail-my.sharepoint.com/personal/narawit_si_kkumail_com/Documents/"/>
    </mc:Choice>
  </mc:AlternateContent>
  <xr:revisionPtr revIDLastSave="0" documentId="8_{A7394094-B40D-420B-8EDF-565C6C514057}" xr6:coauthVersionLast="47" xr6:coauthVersionMax="47" xr10:uidLastSave="{00000000-0000-0000-0000-000000000000}"/>
  <bookViews>
    <workbookView xWindow="-110" yWindow="-110" windowWidth="19420" windowHeight="12220" firstSheet="2" activeTab="2" xr2:uid="{5ACBBB0D-69FB-4278-9A0F-7D4542BDC3CE}"/>
  </bookViews>
  <sheets>
    <sheet name="Sprint1" sheetId="1" r:id="rId1"/>
    <sheet name="Sprint2" sheetId="2" r:id="rId2"/>
    <sheet name="Sprint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7" i="3" l="1"/>
  <c r="J37" i="2"/>
  <c r="K37" i="2"/>
  <c r="L37" i="2"/>
  <c r="G37" i="2"/>
  <c r="H37" i="2"/>
  <c r="I37" i="2"/>
  <c r="F37" i="2"/>
  <c r="E36" i="2"/>
  <c r="L21" i="1"/>
  <c r="F21" i="1"/>
  <c r="I21" i="1"/>
  <c r="H21" i="1"/>
  <c r="G21" i="1"/>
  <c r="J21" i="1"/>
  <c r="K21" i="1"/>
</calcChain>
</file>

<file path=xl/sharedStrings.xml><?xml version="1.0" encoding="utf-8"?>
<sst xmlns="http://schemas.openxmlformats.org/spreadsheetml/2006/main" count="187" uniqueCount="106">
  <si>
    <t>Sprint Backlog</t>
  </si>
  <si>
    <t>Sprint No.</t>
  </si>
  <si>
    <t>Product Backlog Items</t>
  </si>
  <si>
    <t>Sprint Tasks</t>
  </si>
  <si>
    <t>Volunteer</t>
  </si>
  <si>
    <t>Initial Estimate of Effort</t>
  </si>
  <si>
    <t>New Estimate of Effort Remaining at The End of Day…</t>
  </si>
  <si>
    <t>A an admin, I want an automated user verification so that I can have more time to handle exeptional cases and other issues.</t>
  </si>
  <si>
    <t>Find an API provider to verify face and Id card to identify person</t>
  </si>
  <si>
    <t>นายก้องภพ มะลิมาศ</t>
  </si>
  <si>
    <t>Team velocity =</t>
  </si>
  <si>
    <t>Add Basic Auto verify</t>
  </si>
  <si>
    <t>Add License Card Auto verify</t>
  </si>
  <si>
    <t>นายนราวิชญ์ ศิริพล</t>
  </si>
  <si>
    <t>Burrn down charts:</t>
  </si>
  <si>
    <t>As a passenger, I want to get a notification when the driver is about to pick me up so that I can get myself ready or respond to the driver.</t>
  </si>
  <si>
    <t>design "all notification page"</t>
  </si>
  <si>
    <t xml:space="preserve">นายอเสข ปัญญาวงค์ </t>
  </si>
  <si>
    <t>create "all notification page"</t>
  </si>
  <si>
    <t>นายวีระวงศ์ หงษา</t>
  </si>
  <si>
    <t>Add Haversine Formula function for calculating distance.</t>
  </si>
  <si>
    <t xml:space="preserve">Add an API to receive passenger fares for each trip. </t>
  </si>
  <si>
    <t>Add an API for driver arrival notifications.</t>
  </si>
  <si>
    <t>Add a driver arrival notification function.</t>
  </si>
  <si>
    <t>Add an automatic journey initiation process.</t>
  </si>
  <si>
    <t>Add a process for retrieving location data for use in the workflow.</t>
  </si>
  <si>
    <t>Test in case the driver hasn't arrived yet.</t>
  </si>
  <si>
    <t>Test in case the driver has arrived.</t>
  </si>
  <si>
    <t>document</t>
  </si>
  <si>
    <t>Effort Remaining</t>
  </si>
  <si>
    <t xml:space="preserve">link docs api : https://docs.aigen.online/ </t>
  </si>
  <si>
    <t xml:space="preserve">เพิ่มหน้าการจัดการ user verification ฝั่ง admin </t>
  </si>
  <si>
    <t>ก้องภพ มะลิมาศ</t>
  </si>
  <si>
    <t>เพิ่มสถานะรอแอดมินรีวิวสำหรับข้อมูลที่ model ไม่มั่นใจ</t>
  </si>
  <si>
    <t>Integrate OCR service เข้า autoVerify เดิม โดยเพิ่มขั้นตอนดึงข้อมูลจาก OCR และ merge เข้ากับ verification flow ที่มีอยู่</t>
  </si>
  <si>
    <t>ปรับ validation logic ใน autoVerify ให้รองรับการ compare ข้อมูลจาก OCR กับข้อมูลที่ผู้ใช้กรอก (เช่น ID number, ชื่อ, เลขใบขับขี่)</t>
  </si>
  <si>
    <t>ปรับ Decision Engine ให้พิจารณาทั้ง face result และ OCR result ก่อนตัดสิน APPROVED / REVIEW / REJECT</t>
  </si>
  <si>
    <t>ปรับ Register flow ให้รองรับผลลัพธ์จาก OCR เพิ่มเติม โดยไม่กระทบ logic เดิมของระบบ</t>
  </si>
  <si>
    <t>ปรับ Profile Verification (/profile/verification) ให้เรียก OCR เพิ่มจาก flow เดิม และอัปเดต verification status ตามผลใหม่</t>
  </si>
  <si>
    <t>ณิชกานต์ จูประพัทธศรี</t>
  </si>
  <si>
    <t>ปรับ Driver Verification (/profile/driver-verification) ให้รวม OCR ของใบขับขี่เข้ากับ flow เดิม และอัปเดต driverVerificationStatus</t>
  </si>
  <si>
    <t>เพิ่มหรือปรับ field ในฐานข้อมูล หากจำเป็น เพื่อรองรับข้อมูล OCR confidence หรือ OCR result summary</t>
  </si>
  <si>
    <t>unit test สำหรับ autoVerify ฝั่ง register</t>
  </si>
  <si>
    <t>unit test สำหรับ autoVerify ฝั่ง user</t>
  </si>
  <si>
    <t>นราวิชญ์ ศิริพล</t>
  </si>
  <si>
    <t>unit test สำหรับ autoVerify ฝั่ง driver</t>
  </si>
  <si>
    <t>อัปเดตVerification Flow Diagram และ Acceptance Criteria ให้สะท้อนว่า verification ตอนนี้ใช้ทั้ง face และ OCR</t>
  </si>
  <si>
    <t>ก้องภพ มะลิมาศ, ณิชกานต์ จูประพัทธศรี, นราวิชญ์ ศิริพล</t>
  </si>
  <si>
    <t>อัปเดต A-DAPT Blueprint Sprint backlog Item 4 ส่วน Acceptance Test , UI</t>
  </si>
  <si>
    <t>อัปเดต A-DAPT Blueprint Sprint backlog Item 4 ส่วน Business Logic, DB , Support</t>
  </si>
  <si>
    <t>Message &amp; Notification UI/UX Design</t>
  </si>
  <si>
    <t>พีรัชชัย สืบสิงห์</t>
  </si>
  <si>
    <t>Define Acceptance Criteria &amp; Edge Cases</t>
  </si>
  <si>
    <t>อเสข ปัญญาวงค์</t>
  </si>
  <si>
    <t>Write Test Cases for Message &amp; Notification</t>
  </si>
  <si>
    <t>Database Schema Design for Messages Notification</t>
  </si>
  <si>
    <t>วีระวงศ์ หงษา</t>
  </si>
  <si>
    <t>Develop Send Message API &amp; FCM Integration</t>
  </si>
  <si>
    <t>Develop FCM Device Token Management API</t>
  </si>
  <si>
    <t>FCM SDK Setup &amp; Permission Handling</t>
  </si>
  <si>
    <t>Develop App Message UI &amp; Quick Messages</t>
  </si>
  <si>
    <t>Integrate Message Notification APIs to Frontend</t>
  </si>
  <si>
    <t>Implement Push Notification &amp; Deep Linking</t>
  </si>
  <si>
    <t>UAT คนขับส่งหาคนโดยสาร</t>
  </si>
  <si>
    <t>UAT คนโดยสารส่งหาคนขับ</t>
  </si>
  <si>
    <t>Update Blueprint and Acceptance Test documentation</t>
  </si>
  <si>
    <t>estimate time</t>
  </si>
  <si>
    <t>Description</t>
  </si>
  <si>
    <t>As a passenger, I want to report the driver behavior to the admin and get the update on the filed case.</t>
  </si>
  <si>
    <t xml:space="preserve">ทำ A-DARPT Blueprint </t>
  </si>
  <si>
    <t>อัปเดต A-DAPT Blueprint Sprint backlog Item 13</t>
  </si>
  <si>
    <t>ณิชกานต์ จูประพัทธศรี, นราวิชญ์ ศิริพล</t>
  </si>
  <si>
    <t>Design and Update Database</t>
  </si>
  <si>
    <t>ออกแบบฐานข้อมูลและอัพเดตฐานข้อมูลเพื่อรองรับการทำงานของ report</t>
  </si>
  <si>
    <t>วีระวงศ์ หงษา,  อเสข ปัญญาวงค์</t>
  </si>
  <si>
    <t>API &amp; Business Logic (Incident Submission) (B1-D)</t>
  </si>
  <si>
    <t>งานพัฒนา: สร้าง Endpoint POST /incidents เพื่อรับข้อมูล (หัวข้อ, รายละเอียด, ข้อมูลติดต่อ) พร้อมเขียน Logic ตรวจสอบเงื่อนไขว่าทริปที่แจ้งต้องจบทริปแล้ว และต้องไม่เกิน 72 ชม. (3 วัน)
งานเอกสาร: จัดทำ API Specification บน Swagger/Postman พร้อมระบุ Error Code (เช่น 403 สำหรับทริปที่เกิน 3 วัน)</t>
  </si>
  <si>
    <t> 6</t>
  </si>
  <si>
    <t>File Storage &amp; Validation Logic (B2-D)</t>
  </si>
  <si>
    <t>งานพัฒนา: พัฒนาระบบรับไฟล์มัลติมีเดีย ตรวจสอบขนาดไฟล์ภาพ (Max 10MB) และวิดีโอ (Max 30MB, Length 1 Min) บันทึกไฟล์ลง Cloud Storage/Server และบันทึก URL ลง Database
งานเอกสาร: บันทึกโครงสร้าง Storage Folder และ Data Schema สำหรับ Metadata ของไฟล์</t>
  </si>
  <si>
    <t> พีรัชชัย สืบสิงห์</t>
  </si>
  <si>
    <t> 5</t>
  </si>
  <si>
    <t> 0</t>
  </si>
  <si>
    <t>UI Form &amp; Dynamic Input (F1)</t>
  </si>
  <si>
    <t>งานพัฒนา: พัฒนา UI หน้าฟอร์มร้องเรียน รวมถึง Dropdown 6 หัวข้อ, ช่องรายละเอียด และ Input ข้อมูลติดต่อที่ดึงค่าเริ่มต้นจาก User Profile แต่ยอมให้แก้ไขได้</t>
  </si>
  <si>
    <t> วีระวงศ์ หงษา</t>
  </si>
  <si>
    <t> 3</t>
  </si>
  <si>
    <t>Media Upload &amp; Preview UI (F2)</t>
  </si>
  <si>
    <t>งานพัฒนา: สร้าง Component สำหรับเลือกรูป (จำกัด 3 รูป) และวิดีโอ (1 ไฟล์) พร้อมแสดง Thumbnail Preview และสถานะการอัปโหลด (Progress Bar)
งานเอกสาร: -</t>
  </si>
  <si>
    <t> 4</t>
  </si>
  <si>
    <t>Anti-Emoji &amp; Character Validation (V1-D)</t>
  </si>
  <si>
    <t>งานพัฒนา: เขียน Regex ชุดเดียวกันทั้ง Frontend (Client-side) และ Backend (Server-side) เพื่อกรองและบล็อกการใส่อิโมจิหรือสัญลักษณ์พิเศษในช่อง Text
งานเอกสาร: บันทึกชุดข้อความแจ้งเตือน (Error Messages) ที่กำหนดไว้ลงใน Technical Doc</t>
  </si>
  <si>
    <t>Status Tracking Dashboard (F3-D)</t>
  </si>
  <si>
    <t>งานพัฒนา: สร้างหน้าจอ "ติดตามสถานะ" ดึงข้อมูลจาก API มาแสดงเป็น Timeline 3 ลำดับ (ตรวจสอบ -&gt; ติดต่อคนขับ -&gt; เสร็จสิ้น)
งานเอกสาร: ปรับปรุง UI Flow Chart เพื่อแสดงสถานะของผู้แจ้ง</t>
  </si>
  <si>
    <t xml:space="preserve">          </t>
  </si>
  <si>
    <t>Admin Operation Manual (D1)</t>
  </si>
  <si>
    <t>งานเอกสาร: เขียนคู่มือสั้นๆ สำหรับผู้ดูแลระบบ (Admin) เกี่ยวกับการเข้าดูเคสที่แจ้งเข้ามา และวิธีการเปลี่ยนสถานะเคสในระบบหลังบ้านเพื่อให้สถานะในหน้าแอปผู้ใช้เปลี่ยนตาม</t>
  </si>
  <si>
    <t>ปุ่ม 'จบการเดินทาง'</t>
  </si>
  <si>
    <t>เพื่อให้ผู้โดยสารไปหน้า รายงาน ได้</t>
  </si>
  <si>
    <t>API Test</t>
  </si>
  <si>
    <t>ทดสอบการทำงานของ API ในส่วนของ Endpoint ต่างๆ</t>
  </si>
  <si>
    <t>UAT</t>
  </si>
  <si>
    <t>ออกแบบ test design กำหนด test data ดำเนินการเขียน automation test และ จัดทำ report</t>
  </si>
  <si>
    <t xml:space="preserve"> </t>
  </si>
  <si>
    <t>Total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</si>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</sst>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charset val="222"/>
      <scheme val="minor"/>
    </font>
    <font>
      <sz val="11"/>
      <color rgb="FF1F2328"/>
      <name val="Segoe UI"/>
      <family val="2"/>
    </font>
    <font>
      <u/>
      <sz val="11"/>
      <color theme="10"/>
      <name val="Aptos Narrow"/>
      <family val="2"/>
      <charset val="222"/>
      <scheme val="minor"/>
    </font>
    <font>
      <sz val="10"/>
      <color rgb="FF000000"/>
      <name val="Aptos Narrow"/>
      <scheme val="minor"/>
    </font>
    <font>
      <sz val="10"/>
      <color theme="1"/>
      <name val="Aptos Narrow"/>
      <family val="2"/>
      <charset val="222"/>
      <scheme val="minor"/>
    </font>
    <font>
      <sz val="11"/>
      <color rgb="FF000000"/>
      <name val="Aptos Narrow"/>
      <scheme val="minor"/>
    </font>
    <font>
      <sz val="10"/>
      <color rgb="FF000000"/>
      <name val="Aptos Narrow"/>
      <charset val="1"/>
    </font>
    <font>
      <sz val="11"/>
      <color rgb="FF000000"/>
      <name val="Aptos Narrow"/>
      <family val="2"/>
      <charset val="222"/>
    </font>
    <font>
      <sz val="11"/>
      <color rgb="FF000000"/>
      <name val="Aptos Narrow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4">
    <xf numFmtId="0" fontId="0" fillId="0" borderId="0" xfId="0"/>
    <xf numFmtId="0" fontId="0" fillId="0" borderId="1" xfId="0" applyBorder="1"/>
    <xf numFmtId="0" fontId="0" fillId="0" borderId="0" xfId="0" applyAlignment="1">
      <alignment wrapText="1"/>
    </xf>
    <xf numFmtId="0" fontId="1" fillId="0" borderId="0" xfId="0" applyFont="1"/>
    <xf numFmtId="0" fontId="2" fillId="0" borderId="0" xfId="1"/>
    <xf numFmtId="0" fontId="0" fillId="0" borderId="9" xfId="0" applyBorder="1"/>
    <xf numFmtId="0" fontId="0" fillId="0" borderId="9" xfId="0" applyBorder="1" applyAlignment="1">
      <alignment horizontal="center"/>
    </xf>
    <xf numFmtId="0" fontId="5" fillId="0" borderId="9" xfId="0" applyFont="1" applyBorder="1"/>
    <xf numFmtId="0" fontId="0" fillId="0" borderId="9" xfId="0" applyBorder="1" applyAlignment="1">
      <alignment wrapText="1"/>
    </xf>
    <xf numFmtId="0" fontId="4" fillId="0" borderId="9" xfId="0" applyFont="1" applyBorder="1" applyAlignment="1">
      <alignment wrapText="1"/>
    </xf>
    <xf numFmtId="0" fontId="3" fillId="0" borderId="9" xfId="0" applyFont="1" applyBorder="1" applyAlignment="1">
      <alignment wrapText="1"/>
    </xf>
    <xf numFmtId="0" fontId="0" fillId="0" borderId="12" xfId="0" applyBorder="1" applyAlignment="1">
      <alignment horizontal="center"/>
    </xf>
    <xf numFmtId="0" fontId="6" fillId="0" borderId="9" xfId="0" applyFont="1" applyBorder="1"/>
    <xf numFmtId="0" fontId="0" fillId="0" borderId="0" xfId="0" applyAlignment="1">
      <alignment vertical="center"/>
    </xf>
    <xf numFmtId="0" fontId="7" fillId="0" borderId="9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/>
    </xf>
    <xf numFmtId="0" fontId="5" fillId="0" borderId="9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9" xfId="0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/>
    </xf>
    <xf numFmtId="0" fontId="7" fillId="0" borderId="15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19" xfId="0" applyFont="1" applyBorder="1" applyAlignment="1">
      <alignment horizontal="center"/>
    </xf>
    <xf numFmtId="0" fontId="7" fillId="0" borderId="22" xfId="0" applyFont="1" applyBorder="1" applyAlignment="1">
      <alignment horizontal="center" wrapText="1"/>
    </xf>
    <xf numFmtId="0" fontId="7" fillId="0" borderId="20" xfId="0" applyFont="1" applyBorder="1" applyAlignment="1">
      <alignment horizontal="center" wrapText="1"/>
    </xf>
    <xf numFmtId="0" fontId="0" fillId="0" borderId="9" xfId="0" applyFont="1" applyBorder="1" applyAlignment="1">
      <alignment horizontal="center"/>
    </xf>
    <xf numFmtId="0" fontId="0" fillId="0" borderId="11" xfId="0" applyFont="1" applyBorder="1" applyAlignment="1">
      <alignment horizontal="center"/>
    </xf>
    <xf numFmtId="0" fontId="0" fillId="0" borderId="9" xfId="0" applyFont="1" applyBorder="1" applyAlignment="1">
      <alignment horizontal="center" vertical="center"/>
    </xf>
    <xf numFmtId="0" fontId="0" fillId="0" borderId="9" xfId="0" applyFont="1" applyBorder="1" applyAlignment="1">
      <alignment horizontal="center" vertical="center" wrapText="1"/>
    </xf>
    <xf numFmtId="0" fontId="0" fillId="0" borderId="9" xfId="0" applyFont="1" applyFill="1" applyBorder="1" applyAlignment="1">
      <alignment horizontal="center" vertical="center"/>
    </xf>
    <xf numFmtId="0" fontId="7" fillId="0" borderId="9" xfId="0" applyFont="1" applyFill="1" applyBorder="1" applyAlignment="1">
      <alignment horizontal="center" vertical="center"/>
    </xf>
    <xf numFmtId="0" fontId="5" fillId="0" borderId="9" xfId="0" applyFont="1" applyFill="1" applyBorder="1" applyAlignment="1">
      <alignment horizontal="center" vertical="center"/>
    </xf>
    <xf numFmtId="0" fontId="8" fillId="0" borderId="9" xfId="0" applyFont="1" applyFill="1" applyBorder="1" applyAlignment="1">
      <alignment horizontal="center" vertical="center"/>
    </xf>
    <xf numFmtId="0" fontId="0" fillId="0" borderId="4" xfId="0" applyBorder="1" applyAlignment="1"/>
    <xf numFmtId="0" fontId="0" fillId="0" borderId="5" xfId="0" applyBorder="1" applyAlignment="1"/>
  </cellXfs>
  <cellStyles count="2">
    <cellStyle name="Hyperlink" xfId="1" builtinId="8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Burn</a:t>
            </a:r>
            <a:r>
              <a:rPr lang="en-US" baseline="0"/>
              <a:t> Down Charts</a:t>
            </a:r>
            <a:endParaRPr lang="en-US"/>
          </a:p>
        </c:rich>
      </c:tx>
      <c:layout>
        <c:manualLayout>
          <c:xMode val="edge"/>
          <c:yMode val="edge"/>
          <c:x val="0.35416666666666669"/>
          <c:y val="4.62962962962962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Sprint1!$F$21:$L$21</c:f>
              <c:numCache>
                <c:formatCode>General</c:formatCode>
                <c:ptCount val="7"/>
                <c:pt idx="0">
                  <c:v>28</c:v>
                </c:pt>
                <c:pt idx="1">
                  <c:v>23</c:v>
                </c:pt>
                <c:pt idx="2">
                  <c:v>17</c:v>
                </c:pt>
                <c:pt idx="3">
                  <c:v>18</c:v>
                </c:pt>
                <c:pt idx="4">
                  <c:v>18</c:v>
                </c:pt>
                <c:pt idx="5">
                  <c:v>6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ABE-45E8-9BA7-30374F5E88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761775"/>
        <c:axId val="47763215"/>
      </c:lineChart>
      <c:catAx>
        <c:axId val="4776177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763215"/>
        <c:crosses val="autoZero"/>
        <c:auto val="1"/>
        <c:lblAlgn val="ctr"/>
        <c:lblOffset val="100"/>
        <c:noMultiLvlLbl val="0"/>
      </c:catAx>
      <c:valAx>
        <c:axId val="47763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7617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Burn</a:t>
            </a:r>
            <a:r>
              <a:rPr lang="en-US" baseline="0"/>
              <a:t> Down Charts</a:t>
            </a:r>
            <a:endParaRPr lang="en-US"/>
          </a:p>
        </c:rich>
      </c:tx>
      <c:layout>
        <c:manualLayout>
          <c:xMode val="edge"/>
          <c:yMode val="edge"/>
          <c:x val="0.35416666666666669"/>
          <c:y val="4.62962962962962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Sprint2!$F$37:$L$37</c:f>
              <c:numCache>
                <c:formatCode>General</c:formatCode>
                <c:ptCount val="7"/>
                <c:pt idx="0">
                  <c:v>100</c:v>
                </c:pt>
                <c:pt idx="1">
                  <c:v>89</c:v>
                </c:pt>
                <c:pt idx="2">
                  <c:v>75</c:v>
                </c:pt>
                <c:pt idx="3">
                  <c:v>59</c:v>
                </c:pt>
                <c:pt idx="4">
                  <c:v>40</c:v>
                </c:pt>
                <c:pt idx="5">
                  <c:v>28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263-47AA-9CA8-2962C310AA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761775"/>
        <c:axId val="47763215"/>
      </c:lineChart>
      <c:catAx>
        <c:axId val="4776177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763215"/>
        <c:crosses val="autoZero"/>
        <c:auto val="1"/>
        <c:lblAlgn val="ctr"/>
        <c:lblOffset val="100"/>
        <c:noMultiLvlLbl val="0"/>
      </c:catAx>
      <c:valAx>
        <c:axId val="47763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7617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Burn Down Charts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Sprint3!$G$17:$M$17</c:f>
              <c:numCache>
                <c:formatCode>General</c:formatCode>
                <c:ptCount val="7"/>
                <c:pt idx="0">
                  <c:v>41</c:v>
                </c:pt>
                <c:pt idx="1">
                  <c:v>41</c:v>
                </c:pt>
                <c:pt idx="2">
                  <c:v>39</c:v>
                </c:pt>
                <c:pt idx="3">
                  <c:v>24</c:v>
                </c:pt>
                <c:pt idx="4">
                  <c:v>15</c:v>
                </c:pt>
                <c:pt idx="5">
                  <c:v>8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90-4538-9F27-50C7C45591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74758151"/>
        <c:axId val="1074760199"/>
      </c:lineChart>
      <c:catAx>
        <c:axId val="107475815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4760199"/>
        <c:crosses val="autoZero"/>
        <c:auto val="1"/>
        <c:lblAlgn val="ctr"/>
        <c:lblOffset val="100"/>
        <c:noMultiLvlLbl val="0"/>
      </c:catAx>
      <c:valAx>
        <c:axId val="1074760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47581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44823</xdr:colOff>
      <xdr:row>11</xdr:row>
      <xdr:rowOff>180414</xdr:rowOff>
    </xdr:from>
    <xdr:to>
      <xdr:col>20</xdr:col>
      <xdr:colOff>515470</xdr:colOff>
      <xdr:row>20</xdr:row>
      <xdr:rowOff>99731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CF6FDF6-87D7-48A4-BCCD-0E69333A93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73398</xdr:colOff>
      <xdr:row>8</xdr:row>
      <xdr:rowOff>56589</xdr:rowOff>
    </xdr:from>
    <xdr:to>
      <xdr:col>22</xdr:col>
      <xdr:colOff>544045</xdr:colOff>
      <xdr:row>15</xdr:row>
      <xdr:rowOff>9525</xdr:rowOff>
    </xdr:to>
    <xdr:graphicFrame macro="">
      <xdr:nvGraphicFramePr>
        <xdr:cNvPr id="2" name="Chart 4">
          <a:extLst>
            <a:ext uri="{FF2B5EF4-FFF2-40B4-BE49-F238E27FC236}">
              <a16:creationId xmlns:a16="http://schemas.microsoft.com/office/drawing/2014/main" id="{8311E856-67D1-401A-8CB9-036E0A17A8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57150</xdr:colOff>
      <xdr:row>7</xdr:row>
      <xdr:rowOff>85725</xdr:rowOff>
    </xdr:from>
    <xdr:to>
      <xdr:col>27</xdr:col>
      <xdr:colOff>152400</xdr:colOff>
      <xdr:row>10</xdr:row>
      <xdr:rowOff>866775</xdr:rowOff>
    </xdr:to>
    <xdr:graphicFrame macro="">
      <xdr:nvGraphicFramePr>
        <xdr:cNvPr id="11" name="แผนภูมิ 1">
          <a:extLst>
            <a:ext uri="{FF2B5EF4-FFF2-40B4-BE49-F238E27FC236}">
              <a16:creationId xmlns:a16="http://schemas.microsoft.com/office/drawing/2014/main" id="{420AECD5-B9AC-10F0-1C9E-EEE9075D41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docs.aigen.online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4D271-693B-4082-B60B-491C8B13C417}">
  <dimension ref="A1:S24"/>
  <sheetViews>
    <sheetView topLeftCell="A5" zoomScale="70" zoomScaleNormal="70" workbookViewId="0">
      <selection activeCell="D21" sqref="D21"/>
    </sheetView>
  </sheetViews>
  <sheetFormatPr defaultRowHeight="16.5"/>
  <cols>
    <col min="2" max="2" width="29.875" customWidth="1"/>
    <col min="3" max="3" width="53.125" customWidth="1"/>
    <col min="4" max="4" width="26" customWidth="1"/>
    <col min="5" max="5" width="22.75" customWidth="1"/>
  </cols>
  <sheetData>
    <row r="1" spans="1:19">
      <c r="A1" t="s">
        <v>0</v>
      </c>
    </row>
    <row r="4" spans="1:19" ht="19.5" customHeight="1">
      <c r="A4" s="22" t="s">
        <v>1</v>
      </c>
      <c r="B4" s="24" t="s">
        <v>2</v>
      </c>
      <c r="C4" s="24" t="s">
        <v>3</v>
      </c>
      <c r="D4" s="28" t="s">
        <v>4</v>
      </c>
      <c r="E4" s="24" t="s">
        <v>5</v>
      </c>
      <c r="F4" s="29" t="s">
        <v>6</v>
      </c>
      <c r="G4" s="30"/>
      <c r="H4" s="30"/>
      <c r="I4" s="30"/>
      <c r="J4" s="30"/>
      <c r="K4" s="30"/>
      <c r="L4" s="31"/>
    </row>
    <row r="5" spans="1:19">
      <c r="A5" s="23"/>
      <c r="B5" s="25"/>
      <c r="C5" s="25"/>
      <c r="D5" s="28"/>
      <c r="E5" s="25"/>
      <c r="F5" s="1">
        <v>1</v>
      </c>
      <c r="G5" s="1">
        <v>2</v>
      </c>
      <c r="H5" s="1">
        <v>3</v>
      </c>
      <c r="I5" s="1">
        <v>4</v>
      </c>
      <c r="J5" s="1">
        <v>5</v>
      </c>
      <c r="K5" s="1">
        <v>6</v>
      </c>
      <c r="L5" s="1">
        <v>7</v>
      </c>
    </row>
    <row r="6" spans="1:19" ht="33" customHeight="1">
      <c r="A6" s="21">
        <v>4</v>
      </c>
      <c r="B6" s="20" t="s">
        <v>7</v>
      </c>
      <c r="C6" s="1" t="s">
        <v>8</v>
      </c>
      <c r="D6" s="1" t="s">
        <v>9</v>
      </c>
      <c r="E6" s="1">
        <v>3</v>
      </c>
      <c r="F6" s="1">
        <v>3</v>
      </c>
      <c r="G6" s="1">
        <v>3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Q6" t="s">
        <v>10</v>
      </c>
      <c r="S6">
        <v>28</v>
      </c>
    </row>
    <row r="7" spans="1:19" ht="37.5" customHeight="1">
      <c r="A7" s="21"/>
      <c r="B7" s="20"/>
      <c r="C7" s="1" t="s">
        <v>11</v>
      </c>
      <c r="D7" s="3" t="s">
        <v>9</v>
      </c>
      <c r="E7" s="1">
        <v>2</v>
      </c>
      <c r="F7" s="1">
        <v>2</v>
      </c>
      <c r="G7">
        <v>2</v>
      </c>
      <c r="H7" s="1">
        <v>0</v>
      </c>
      <c r="I7" s="1">
        <v>0</v>
      </c>
      <c r="J7" s="1">
        <v>0</v>
      </c>
      <c r="K7" s="1">
        <v>0</v>
      </c>
      <c r="L7" s="1">
        <v>0</v>
      </c>
    </row>
    <row r="8" spans="1:19" ht="24.95" customHeight="1">
      <c r="A8" s="21"/>
      <c r="B8" s="20"/>
      <c r="C8" s="62" t="s">
        <v>12</v>
      </c>
      <c r="D8" s="26" t="s">
        <v>13</v>
      </c>
      <c r="E8" s="62">
        <v>6</v>
      </c>
      <c r="F8" s="62">
        <v>6</v>
      </c>
      <c r="G8" s="62">
        <v>6</v>
      </c>
      <c r="H8" s="62">
        <v>6</v>
      </c>
      <c r="I8" s="62">
        <v>6</v>
      </c>
      <c r="J8" s="62">
        <v>0</v>
      </c>
      <c r="K8" s="62">
        <v>0</v>
      </c>
      <c r="L8" s="62">
        <v>0</v>
      </c>
      <c r="Q8" t="s">
        <v>14</v>
      </c>
    </row>
    <row r="9" spans="1:19" ht="12.95" customHeight="1">
      <c r="A9" s="21"/>
      <c r="B9" s="20"/>
      <c r="C9" s="63"/>
      <c r="D9" s="27"/>
      <c r="E9" s="63"/>
      <c r="F9" s="63"/>
      <c r="G9" s="63"/>
      <c r="H9" s="63"/>
      <c r="I9" s="63"/>
      <c r="J9" s="63"/>
      <c r="K9" s="63"/>
      <c r="L9" s="63"/>
    </row>
    <row r="10" spans="1:19" ht="24.95" customHeight="1">
      <c r="A10" s="21">
        <v>12</v>
      </c>
      <c r="B10" s="20" t="s">
        <v>15</v>
      </c>
      <c r="C10" s="1" t="s">
        <v>16</v>
      </c>
      <c r="D10" s="1" t="s">
        <v>17</v>
      </c>
      <c r="E10" s="1">
        <v>1</v>
      </c>
      <c r="F10" s="1">
        <v>1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</row>
    <row r="11" spans="1:19" ht="24.95" customHeight="1">
      <c r="A11" s="21"/>
      <c r="B11" s="20"/>
      <c r="C11" s="1" t="s">
        <v>18</v>
      </c>
      <c r="D11" s="1" t="s">
        <v>19</v>
      </c>
      <c r="E11" s="1">
        <v>2</v>
      </c>
      <c r="F11" s="1">
        <v>2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</row>
    <row r="12" spans="1:19" ht="24.95" customHeight="1">
      <c r="A12" s="21"/>
      <c r="B12" s="20"/>
      <c r="C12" s="1" t="s">
        <v>20</v>
      </c>
      <c r="D12" s="1" t="s">
        <v>19</v>
      </c>
      <c r="E12" s="1">
        <v>2</v>
      </c>
      <c r="F12" s="1">
        <v>2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</row>
    <row r="13" spans="1:19" ht="24.95" customHeight="1">
      <c r="A13" s="21"/>
      <c r="B13" s="20"/>
      <c r="C13" s="1" t="s">
        <v>21</v>
      </c>
      <c r="D13" s="1" t="s">
        <v>17</v>
      </c>
      <c r="E13" s="1">
        <v>2</v>
      </c>
      <c r="F13" s="1">
        <v>2</v>
      </c>
      <c r="G13" s="1">
        <v>2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</row>
    <row r="14" spans="1:19" ht="24.95" customHeight="1">
      <c r="A14" s="21"/>
      <c r="B14" s="20"/>
      <c r="C14" s="1" t="s">
        <v>22</v>
      </c>
      <c r="D14" s="1" t="s">
        <v>17</v>
      </c>
      <c r="E14" s="1">
        <v>2</v>
      </c>
      <c r="F14" s="1">
        <v>2</v>
      </c>
      <c r="G14" s="1">
        <v>2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</row>
    <row r="15" spans="1:19" ht="24.95" customHeight="1">
      <c r="A15" s="21"/>
      <c r="B15" s="20"/>
      <c r="C15" s="1" t="s">
        <v>23</v>
      </c>
      <c r="D15" s="1" t="s">
        <v>19</v>
      </c>
      <c r="E15" s="1">
        <v>2</v>
      </c>
      <c r="F15" s="1">
        <v>2</v>
      </c>
      <c r="G15" s="1">
        <v>2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</row>
    <row r="16" spans="1:19" ht="24.95" customHeight="1">
      <c r="A16" s="21"/>
      <c r="B16" s="20"/>
      <c r="C16" s="1" t="s">
        <v>24</v>
      </c>
      <c r="D16" s="1" t="s">
        <v>19</v>
      </c>
      <c r="E16" s="1">
        <v>6</v>
      </c>
      <c r="F16" s="1">
        <v>6</v>
      </c>
      <c r="G16" s="1">
        <v>6</v>
      </c>
      <c r="H16" s="1">
        <v>6</v>
      </c>
      <c r="I16" s="1">
        <v>6</v>
      </c>
      <c r="J16" s="1">
        <v>6</v>
      </c>
      <c r="K16" s="1">
        <v>0</v>
      </c>
      <c r="L16" s="1">
        <v>0</v>
      </c>
    </row>
    <row r="17" spans="1:12" ht="24.95" customHeight="1">
      <c r="A17" s="21"/>
      <c r="B17" s="20"/>
      <c r="C17" s="1" t="s">
        <v>25</v>
      </c>
      <c r="D17" s="1" t="s">
        <v>19</v>
      </c>
      <c r="E17" s="1">
        <v>5</v>
      </c>
      <c r="F17" s="1">
        <v>5</v>
      </c>
      <c r="G17" s="1">
        <v>5</v>
      </c>
      <c r="H17" s="1">
        <v>5</v>
      </c>
      <c r="I17" s="1">
        <v>6</v>
      </c>
      <c r="J17" s="1">
        <v>6</v>
      </c>
      <c r="K17" s="1">
        <v>0</v>
      </c>
      <c r="L17" s="1">
        <v>0</v>
      </c>
    </row>
    <row r="18" spans="1:12" ht="24.95" customHeight="1">
      <c r="A18" s="21"/>
      <c r="B18" s="20"/>
      <c r="C18" s="1" t="s">
        <v>26</v>
      </c>
      <c r="D18" s="1" t="s">
        <v>17</v>
      </c>
      <c r="E18" s="1">
        <v>2</v>
      </c>
      <c r="F18" s="1">
        <v>2</v>
      </c>
      <c r="G18" s="1">
        <v>2</v>
      </c>
      <c r="H18" s="1">
        <v>2</v>
      </c>
      <c r="I18" s="1">
        <v>2</v>
      </c>
      <c r="J18" s="1">
        <v>2</v>
      </c>
      <c r="K18" s="1">
        <v>2</v>
      </c>
      <c r="L18" s="1">
        <v>0</v>
      </c>
    </row>
    <row r="19" spans="1:12" ht="24.95" customHeight="1">
      <c r="A19" s="21"/>
      <c r="B19" s="20"/>
      <c r="C19" s="1" t="s">
        <v>27</v>
      </c>
      <c r="D19" s="1" t="s">
        <v>17</v>
      </c>
      <c r="E19" s="1">
        <v>2</v>
      </c>
      <c r="F19" s="1">
        <v>2</v>
      </c>
      <c r="G19" s="1">
        <v>2</v>
      </c>
      <c r="H19" s="1">
        <v>2</v>
      </c>
      <c r="I19" s="1">
        <v>2</v>
      </c>
      <c r="J19" s="1">
        <v>2</v>
      </c>
      <c r="K19" s="1">
        <v>2</v>
      </c>
      <c r="L19" s="1">
        <v>0</v>
      </c>
    </row>
    <row r="20" spans="1:12" ht="24.95" customHeight="1">
      <c r="A20" s="21"/>
      <c r="B20" s="20"/>
      <c r="C20" s="1" t="s">
        <v>28</v>
      </c>
      <c r="D20" s="1" t="s">
        <v>17</v>
      </c>
      <c r="E20" s="1">
        <v>2</v>
      </c>
      <c r="F20" s="1">
        <v>2</v>
      </c>
      <c r="G20" s="1">
        <v>2</v>
      </c>
      <c r="H20" s="1">
        <v>2</v>
      </c>
      <c r="I20" s="1">
        <v>2</v>
      </c>
      <c r="J20" s="1">
        <v>2</v>
      </c>
      <c r="K20" s="1">
        <v>2</v>
      </c>
      <c r="L20" s="1">
        <v>0</v>
      </c>
    </row>
    <row r="21" spans="1:12">
      <c r="E21" t="s">
        <v>29</v>
      </c>
      <c r="F21">
        <f>SUM(F10:F20)</f>
        <v>28</v>
      </c>
      <c r="G21">
        <f>SUM(G10:G20)</f>
        <v>23</v>
      </c>
      <c r="H21">
        <f>SUM(H10:H20)</f>
        <v>17</v>
      </c>
      <c r="I21">
        <f>SUM(I10:I20)</f>
        <v>18</v>
      </c>
      <c r="J21">
        <f t="shared" ref="J21:L21" si="0">SUM(J10:J20)</f>
        <v>18</v>
      </c>
      <c r="K21">
        <f t="shared" si="0"/>
        <v>6</v>
      </c>
      <c r="L21">
        <f>SUM(L6:L20)</f>
        <v>0</v>
      </c>
    </row>
    <row r="24" spans="1:12">
      <c r="C24" s="2"/>
    </row>
  </sheetData>
  <mergeCells count="20">
    <mergeCell ref="K8:K9"/>
    <mergeCell ref="L8:L9"/>
    <mergeCell ref="F8:F9"/>
    <mergeCell ref="G8:G9"/>
    <mergeCell ref="D4:D5"/>
    <mergeCell ref="F4:L4"/>
    <mergeCell ref="I8:I9"/>
    <mergeCell ref="J8:J9"/>
    <mergeCell ref="A4:A5"/>
    <mergeCell ref="B4:B5"/>
    <mergeCell ref="C4:C5"/>
    <mergeCell ref="E4:E5"/>
    <mergeCell ref="H8:H9"/>
    <mergeCell ref="D8:D9"/>
    <mergeCell ref="E8:E9"/>
    <mergeCell ref="B10:B20"/>
    <mergeCell ref="A10:A20"/>
    <mergeCell ref="A6:A9"/>
    <mergeCell ref="B6:B9"/>
    <mergeCell ref="C8:C9"/>
  </mergeCells>
  <pageMargins left="0.7" right="0.7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A00CA-6743-4208-A664-78F85248C100}">
  <dimension ref="A1:Q37"/>
  <sheetViews>
    <sheetView topLeftCell="A11" zoomScale="70" zoomScaleNormal="70" workbookViewId="0">
      <selection activeCell="C19" sqref="C19"/>
    </sheetView>
  </sheetViews>
  <sheetFormatPr defaultRowHeight="13.5"/>
  <cols>
    <col min="1" max="1" width="11.5" bestFit="1" customWidth="1"/>
    <col min="2" max="2" width="29.875" customWidth="1"/>
    <col min="3" max="3" width="57.75" customWidth="1"/>
    <col min="4" max="4" width="36" bestFit="1" customWidth="1"/>
    <col min="5" max="5" width="18.125" bestFit="1" customWidth="1"/>
    <col min="6" max="6" width="13.125" bestFit="1" customWidth="1"/>
    <col min="7" max="12" width="5.25" bestFit="1" customWidth="1"/>
    <col min="17" max="17" width="14.875" bestFit="1" customWidth="1"/>
  </cols>
  <sheetData>
    <row r="1" spans="1:17">
      <c r="A1" t="s">
        <v>0</v>
      </c>
    </row>
    <row r="3" spans="1:17">
      <c r="C3" s="4" t="s">
        <v>30</v>
      </c>
    </row>
    <row r="4" spans="1:17">
      <c r="A4" s="32" t="s">
        <v>1</v>
      </c>
      <c r="B4" s="41" t="s">
        <v>2</v>
      </c>
      <c r="C4" s="41" t="s">
        <v>3</v>
      </c>
      <c r="D4" s="40" t="s">
        <v>4</v>
      </c>
      <c r="E4" s="41" t="s">
        <v>5</v>
      </c>
      <c r="F4" s="40" t="s">
        <v>6</v>
      </c>
      <c r="G4" s="40"/>
      <c r="H4" s="40"/>
      <c r="I4" s="40"/>
      <c r="J4" s="40"/>
      <c r="K4" s="40"/>
      <c r="L4" s="40"/>
    </row>
    <row r="5" spans="1:17">
      <c r="A5" s="32"/>
      <c r="B5" s="41"/>
      <c r="C5" s="41"/>
      <c r="D5" s="40"/>
      <c r="E5" s="41"/>
      <c r="F5" s="6">
        <v>1</v>
      </c>
      <c r="G5" s="6">
        <v>2</v>
      </c>
      <c r="H5" s="6">
        <v>3</v>
      </c>
      <c r="I5" s="6">
        <v>4</v>
      </c>
      <c r="J5" s="6">
        <v>5</v>
      </c>
      <c r="K5" s="6">
        <v>6</v>
      </c>
      <c r="L5" s="6">
        <v>7</v>
      </c>
    </row>
    <row r="6" spans="1:17" ht="13.5" customHeight="1">
      <c r="A6" s="37">
        <v>4</v>
      </c>
      <c r="B6" s="34" t="s">
        <v>7</v>
      </c>
      <c r="C6" s="5" t="s">
        <v>31</v>
      </c>
      <c r="D6" s="5" t="s">
        <v>32</v>
      </c>
      <c r="E6" s="6">
        <v>3</v>
      </c>
      <c r="F6" s="6">
        <v>3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</row>
    <row r="7" spans="1:17">
      <c r="A7" s="38"/>
      <c r="B7" s="35"/>
      <c r="C7" s="5" t="s">
        <v>33</v>
      </c>
      <c r="D7" s="5" t="s">
        <v>32</v>
      </c>
      <c r="E7" s="6">
        <v>4</v>
      </c>
      <c r="F7" s="6">
        <v>4</v>
      </c>
      <c r="G7" s="6">
        <v>4</v>
      </c>
      <c r="H7" s="6">
        <v>0</v>
      </c>
      <c r="I7" s="6">
        <v>0</v>
      </c>
      <c r="J7" s="6">
        <v>0</v>
      </c>
      <c r="K7" s="6">
        <v>0</v>
      </c>
      <c r="L7" s="6">
        <v>0</v>
      </c>
    </row>
    <row r="8" spans="1:17" ht="36.75">
      <c r="A8" s="38"/>
      <c r="B8" s="35"/>
      <c r="C8" s="8" t="s">
        <v>34</v>
      </c>
      <c r="D8" s="5" t="s">
        <v>32</v>
      </c>
      <c r="E8" s="6">
        <v>4</v>
      </c>
      <c r="F8" s="6">
        <v>4</v>
      </c>
      <c r="G8" s="6">
        <v>4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Q8" t="s">
        <v>14</v>
      </c>
    </row>
    <row r="9" spans="1:17" ht="32.25">
      <c r="A9" s="38"/>
      <c r="B9" s="35"/>
      <c r="C9" s="9" t="s">
        <v>35</v>
      </c>
      <c r="D9" s="5" t="s">
        <v>32</v>
      </c>
      <c r="E9" s="6">
        <v>4</v>
      </c>
      <c r="F9" s="6">
        <v>4</v>
      </c>
      <c r="G9" s="6">
        <v>4</v>
      </c>
      <c r="H9" s="6">
        <v>4</v>
      </c>
      <c r="I9" s="6">
        <v>0</v>
      </c>
      <c r="J9" s="6">
        <v>0</v>
      </c>
      <c r="K9" s="6">
        <v>0</v>
      </c>
      <c r="L9" s="6">
        <v>0</v>
      </c>
    </row>
    <row r="10" spans="1:17" ht="31.5">
      <c r="A10" s="38"/>
      <c r="B10" s="35"/>
      <c r="C10" s="9" t="s">
        <v>36</v>
      </c>
      <c r="D10" s="5" t="s">
        <v>32</v>
      </c>
      <c r="E10" s="6">
        <v>3</v>
      </c>
      <c r="F10" s="6">
        <v>3</v>
      </c>
      <c r="G10" s="6">
        <v>3</v>
      </c>
      <c r="H10" s="6">
        <v>3</v>
      </c>
      <c r="I10" s="6">
        <v>0</v>
      </c>
      <c r="J10" s="6">
        <v>0</v>
      </c>
      <c r="K10" s="6">
        <v>0</v>
      </c>
      <c r="L10" s="6">
        <v>0</v>
      </c>
    </row>
    <row r="11" spans="1:17" ht="16.5">
      <c r="A11" s="38"/>
      <c r="B11" s="35"/>
      <c r="C11" s="9" t="s">
        <v>37</v>
      </c>
      <c r="D11" s="5" t="s">
        <v>32</v>
      </c>
      <c r="E11" s="6">
        <v>4</v>
      </c>
      <c r="F11" s="6">
        <v>4</v>
      </c>
      <c r="G11" s="6">
        <v>4</v>
      </c>
      <c r="H11" s="6">
        <v>4</v>
      </c>
      <c r="I11" s="6">
        <v>4</v>
      </c>
      <c r="J11" s="6">
        <v>0</v>
      </c>
      <c r="K11" s="6">
        <v>0</v>
      </c>
      <c r="L11" s="6">
        <v>0</v>
      </c>
    </row>
    <row r="12" spans="1:17" ht="32.25">
      <c r="A12" s="38"/>
      <c r="B12" s="35"/>
      <c r="C12" s="9" t="s">
        <v>38</v>
      </c>
      <c r="D12" s="5" t="s">
        <v>39</v>
      </c>
      <c r="E12" s="6">
        <v>5</v>
      </c>
      <c r="F12" s="6">
        <v>5</v>
      </c>
      <c r="G12" s="6">
        <v>5</v>
      </c>
      <c r="H12" s="6">
        <v>5</v>
      </c>
      <c r="I12" s="6">
        <v>5</v>
      </c>
      <c r="J12" s="6">
        <v>5</v>
      </c>
      <c r="K12" s="6">
        <v>5</v>
      </c>
      <c r="L12" s="6">
        <v>0</v>
      </c>
    </row>
    <row r="13" spans="1:17" ht="32.25">
      <c r="A13" s="38"/>
      <c r="B13" s="35"/>
      <c r="C13" s="9" t="s">
        <v>40</v>
      </c>
      <c r="D13" s="5" t="s">
        <v>39</v>
      </c>
      <c r="E13" s="6">
        <v>5</v>
      </c>
      <c r="F13" s="6">
        <v>5</v>
      </c>
      <c r="G13" s="6">
        <v>5</v>
      </c>
      <c r="H13" s="6">
        <v>5</v>
      </c>
      <c r="I13" s="6">
        <v>5</v>
      </c>
      <c r="J13" s="6">
        <v>5</v>
      </c>
      <c r="K13" s="6">
        <v>5</v>
      </c>
      <c r="L13" s="6">
        <v>0</v>
      </c>
    </row>
    <row r="14" spans="1:17" ht="31.5">
      <c r="A14" s="38"/>
      <c r="B14" s="35"/>
      <c r="C14" s="9" t="s">
        <v>41</v>
      </c>
      <c r="D14" s="5" t="s">
        <v>32</v>
      </c>
      <c r="E14" s="6">
        <v>2</v>
      </c>
      <c r="F14" s="6">
        <v>2</v>
      </c>
      <c r="G14" s="6">
        <v>2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</row>
    <row r="15" spans="1:17" ht="16.5">
      <c r="A15" s="38"/>
      <c r="B15" s="35"/>
      <c r="C15" s="9" t="s">
        <v>42</v>
      </c>
      <c r="D15" s="5" t="s">
        <v>32</v>
      </c>
      <c r="E15" s="6">
        <v>3</v>
      </c>
      <c r="F15" s="6">
        <v>3</v>
      </c>
      <c r="G15" s="6">
        <v>3</v>
      </c>
      <c r="H15" s="6">
        <v>3</v>
      </c>
      <c r="I15" s="6">
        <v>3</v>
      </c>
      <c r="J15" s="6">
        <v>3</v>
      </c>
      <c r="K15" s="6">
        <v>0</v>
      </c>
      <c r="L15" s="6">
        <v>0</v>
      </c>
    </row>
    <row r="16" spans="1:17" ht="16.5">
      <c r="A16" s="38"/>
      <c r="B16" s="35"/>
      <c r="C16" s="9" t="s">
        <v>43</v>
      </c>
      <c r="D16" s="5" t="s">
        <v>44</v>
      </c>
      <c r="E16" s="6">
        <v>2</v>
      </c>
      <c r="F16" s="6">
        <v>2</v>
      </c>
      <c r="G16" s="6">
        <v>2</v>
      </c>
      <c r="H16" s="6">
        <v>2</v>
      </c>
      <c r="I16" s="6">
        <v>2</v>
      </c>
      <c r="J16" s="6">
        <v>2</v>
      </c>
      <c r="K16" s="6">
        <v>2</v>
      </c>
      <c r="L16" s="6">
        <v>0</v>
      </c>
    </row>
    <row r="17" spans="1:12" ht="16.5">
      <c r="A17" s="38"/>
      <c r="B17" s="35"/>
      <c r="C17" s="9" t="s">
        <v>45</v>
      </c>
      <c r="D17" s="5" t="s">
        <v>44</v>
      </c>
      <c r="E17" s="6">
        <v>2</v>
      </c>
      <c r="F17" s="6">
        <v>2</v>
      </c>
      <c r="G17" s="6">
        <v>2</v>
      </c>
      <c r="H17" s="6">
        <v>2</v>
      </c>
      <c r="I17" s="6">
        <v>2</v>
      </c>
      <c r="J17" s="6">
        <v>2</v>
      </c>
      <c r="K17" s="6">
        <v>2</v>
      </c>
      <c r="L17" s="6">
        <v>0</v>
      </c>
    </row>
    <row r="18" spans="1:12" ht="36">
      <c r="A18" s="38"/>
      <c r="B18" s="35"/>
      <c r="C18" s="9" t="s">
        <v>46</v>
      </c>
      <c r="D18" s="8" t="s">
        <v>47</v>
      </c>
      <c r="E18" s="6">
        <v>7</v>
      </c>
      <c r="F18" s="6">
        <v>7</v>
      </c>
      <c r="G18" s="6">
        <v>7</v>
      </c>
      <c r="H18" s="6">
        <v>7</v>
      </c>
      <c r="I18" s="6">
        <v>7</v>
      </c>
      <c r="J18" s="6">
        <v>7</v>
      </c>
      <c r="K18" s="6">
        <v>7</v>
      </c>
      <c r="L18" s="6">
        <v>0</v>
      </c>
    </row>
    <row r="19" spans="1:12" ht="14.25">
      <c r="A19" s="38"/>
      <c r="B19" s="35"/>
      <c r="C19" s="10" t="s">
        <v>48</v>
      </c>
      <c r="D19" s="5" t="s">
        <v>39</v>
      </c>
      <c r="E19" s="6">
        <v>1</v>
      </c>
      <c r="F19" s="6">
        <v>1</v>
      </c>
      <c r="G19" s="6">
        <v>1</v>
      </c>
      <c r="H19" s="6">
        <v>1</v>
      </c>
      <c r="I19" s="6">
        <v>1</v>
      </c>
      <c r="J19" s="6">
        <v>1</v>
      </c>
      <c r="K19" s="6">
        <v>1</v>
      </c>
      <c r="L19" s="6">
        <v>0</v>
      </c>
    </row>
    <row r="20" spans="1:12" ht="15">
      <c r="A20" s="39"/>
      <c r="B20" s="36"/>
      <c r="C20" s="12" t="s">
        <v>49</v>
      </c>
      <c r="D20" s="5" t="s">
        <v>39</v>
      </c>
      <c r="E20" s="6">
        <v>2</v>
      </c>
      <c r="F20" s="6">
        <v>2</v>
      </c>
      <c r="G20" s="6">
        <v>2</v>
      </c>
      <c r="H20" s="6">
        <v>2</v>
      </c>
      <c r="I20" s="6">
        <v>2</v>
      </c>
      <c r="J20" s="6">
        <v>2</v>
      </c>
      <c r="K20" s="6">
        <v>2</v>
      </c>
      <c r="L20" s="6">
        <v>0</v>
      </c>
    </row>
    <row r="21" spans="1:12">
      <c r="A21" s="32">
        <v>12</v>
      </c>
      <c r="B21" s="33" t="s">
        <v>15</v>
      </c>
      <c r="C21" s="5" t="s">
        <v>50</v>
      </c>
      <c r="D21" s="5" t="s">
        <v>51</v>
      </c>
      <c r="E21" s="6">
        <v>1</v>
      </c>
      <c r="F21" s="6">
        <v>1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</row>
    <row r="22" spans="1:12">
      <c r="A22" s="32"/>
      <c r="B22" s="33"/>
      <c r="C22" s="5" t="s">
        <v>52</v>
      </c>
      <c r="D22" s="5" t="s">
        <v>53</v>
      </c>
      <c r="E22" s="6">
        <v>4</v>
      </c>
      <c r="F22" s="6">
        <v>4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</row>
    <row r="23" spans="1:12">
      <c r="A23" s="32"/>
      <c r="B23" s="33"/>
      <c r="C23" s="5" t="s">
        <v>54</v>
      </c>
      <c r="D23" s="5" t="s">
        <v>53</v>
      </c>
      <c r="E23" s="6">
        <v>3</v>
      </c>
      <c r="F23" s="6">
        <v>3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</row>
    <row r="24" spans="1:12">
      <c r="A24" s="32"/>
      <c r="B24" s="33"/>
      <c r="C24" s="5" t="s">
        <v>55</v>
      </c>
      <c r="D24" s="5" t="s">
        <v>56</v>
      </c>
      <c r="E24" s="6">
        <v>4</v>
      </c>
      <c r="F24" s="6">
        <v>4</v>
      </c>
      <c r="G24" s="6">
        <v>4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</row>
    <row r="25" spans="1:12">
      <c r="A25" s="32"/>
      <c r="B25" s="33"/>
      <c r="C25" s="5" t="s">
        <v>57</v>
      </c>
      <c r="D25" s="5" t="s">
        <v>56</v>
      </c>
      <c r="E25" s="6">
        <v>4</v>
      </c>
      <c r="F25" s="6">
        <v>4</v>
      </c>
      <c r="G25" s="6">
        <v>4</v>
      </c>
      <c r="H25" s="6">
        <v>4</v>
      </c>
      <c r="I25" s="6">
        <v>0</v>
      </c>
      <c r="J25" s="6">
        <v>0</v>
      </c>
      <c r="K25" s="6">
        <v>0</v>
      </c>
      <c r="L25" s="6">
        <v>0</v>
      </c>
    </row>
    <row r="26" spans="1:12">
      <c r="A26" s="32"/>
      <c r="B26" s="33"/>
      <c r="C26" s="5" t="s">
        <v>58</v>
      </c>
      <c r="D26" s="5" t="s">
        <v>56</v>
      </c>
      <c r="E26" s="6">
        <v>5</v>
      </c>
      <c r="F26" s="6">
        <v>5</v>
      </c>
      <c r="G26" s="6">
        <v>5</v>
      </c>
      <c r="H26" s="6">
        <v>5</v>
      </c>
      <c r="I26" s="6">
        <v>0</v>
      </c>
      <c r="J26" s="6">
        <v>0</v>
      </c>
      <c r="K26" s="6">
        <v>0</v>
      </c>
      <c r="L26" s="6">
        <v>0</v>
      </c>
    </row>
    <row r="27" spans="1:12">
      <c r="A27" s="32"/>
      <c r="B27" s="33"/>
      <c r="C27" s="5" t="s">
        <v>59</v>
      </c>
      <c r="D27" s="5" t="s">
        <v>56</v>
      </c>
      <c r="E27" s="6">
        <v>5</v>
      </c>
      <c r="F27" s="6">
        <v>5</v>
      </c>
      <c r="G27" s="6">
        <v>5</v>
      </c>
      <c r="H27" s="6">
        <v>5</v>
      </c>
      <c r="I27" s="6">
        <v>5</v>
      </c>
      <c r="J27" s="6">
        <v>0</v>
      </c>
      <c r="K27" s="6">
        <v>0</v>
      </c>
      <c r="L27" s="6">
        <v>0</v>
      </c>
    </row>
    <row r="28" spans="1:12">
      <c r="A28" s="32"/>
      <c r="B28" s="33"/>
      <c r="C28" s="5" t="s">
        <v>60</v>
      </c>
      <c r="D28" s="5" t="s">
        <v>51</v>
      </c>
      <c r="E28" s="6">
        <v>5</v>
      </c>
      <c r="F28" s="6">
        <v>5</v>
      </c>
      <c r="G28" s="6">
        <v>5</v>
      </c>
      <c r="H28" s="6">
        <v>5</v>
      </c>
      <c r="I28" s="6">
        <v>5</v>
      </c>
      <c r="J28" s="6">
        <v>0</v>
      </c>
      <c r="K28" s="6">
        <v>0</v>
      </c>
      <c r="L28" s="6">
        <v>0</v>
      </c>
    </row>
    <row r="29" spans="1:12">
      <c r="A29" s="32"/>
      <c r="B29" s="33"/>
      <c r="C29" s="5" t="s">
        <v>61</v>
      </c>
      <c r="D29" s="5" t="s">
        <v>51</v>
      </c>
      <c r="E29" s="6">
        <v>5</v>
      </c>
      <c r="F29" s="6">
        <v>5</v>
      </c>
      <c r="G29" s="6">
        <v>5</v>
      </c>
      <c r="H29" s="6">
        <v>5</v>
      </c>
      <c r="I29" s="6">
        <v>5</v>
      </c>
      <c r="J29" s="6">
        <v>0</v>
      </c>
      <c r="K29" s="6">
        <v>0</v>
      </c>
      <c r="L29" s="6">
        <v>0</v>
      </c>
    </row>
    <row r="30" spans="1:12" ht="15">
      <c r="A30" s="32"/>
      <c r="B30" s="33"/>
      <c r="C30" s="7" t="s">
        <v>62</v>
      </c>
      <c r="D30" s="5" t="s">
        <v>56</v>
      </c>
      <c r="E30" s="6">
        <v>3</v>
      </c>
      <c r="F30" s="6">
        <v>3</v>
      </c>
      <c r="G30" s="6">
        <v>3</v>
      </c>
      <c r="H30" s="6">
        <v>3</v>
      </c>
      <c r="I30" s="6">
        <v>3</v>
      </c>
      <c r="J30" s="6">
        <v>3</v>
      </c>
      <c r="K30" s="6">
        <v>0</v>
      </c>
      <c r="L30" s="6">
        <v>0</v>
      </c>
    </row>
    <row r="31" spans="1:12">
      <c r="A31" s="32"/>
      <c r="B31" s="33"/>
      <c r="C31" s="5" t="s">
        <v>63</v>
      </c>
      <c r="D31" s="5" t="s">
        <v>53</v>
      </c>
      <c r="E31" s="6">
        <v>3</v>
      </c>
      <c r="F31" s="6">
        <v>3</v>
      </c>
      <c r="G31" s="6">
        <v>3</v>
      </c>
      <c r="H31" s="6">
        <v>3</v>
      </c>
      <c r="I31" s="6">
        <v>3</v>
      </c>
      <c r="J31" s="6">
        <v>3</v>
      </c>
      <c r="K31" s="6">
        <v>0</v>
      </c>
      <c r="L31" s="6">
        <v>0</v>
      </c>
    </row>
    <row r="32" spans="1:12">
      <c r="A32" s="32"/>
      <c r="B32" s="33"/>
      <c r="C32" s="5" t="s">
        <v>64</v>
      </c>
      <c r="D32" s="5" t="s">
        <v>53</v>
      </c>
      <c r="E32" s="6">
        <v>3</v>
      </c>
      <c r="F32" s="6">
        <v>3</v>
      </c>
      <c r="G32" s="6">
        <v>3</v>
      </c>
      <c r="H32" s="6">
        <v>3</v>
      </c>
      <c r="I32" s="6">
        <v>3</v>
      </c>
      <c r="J32" s="6">
        <v>3</v>
      </c>
      <c r="K32" s="6">
        <v>0</v>
      </c>
      <c r="L32" s="6">
        <v>0</v>
      </c>
    </row>
    <row r="33" spans="1:12">
      <c r="A33" s="32"/>
      <c r="B33" s="33"/>
      <c r="C33" s="5" t="s">
        <v>65</v>
      </c>
      <c r="D33" s="5" t="s">
        <v>53</v>
      </c>
      <c r="E33" s="6">
        <v>4</v>
      </c>
      <c r="F33" s="6">
        <v>4</v>
      </c>
      <c r="G33" s="6">
        <v>4</v>
      </c>
      <c r="H33" s="6">
        <v>4</v>
      </c>
      <c r="I33" s="6">
        <v>4</v>
      </c>
      <c r="J33" s="6">
        <v>4</v>
      </c>
      <c r="K33" s="6">
        <v>4</v>
      </c>
      <c r="L33" s="6">
        <v>0</v>
      </c>
    </row>
    <row r="34" spans="1:12" hidden="1"/>
    <row r="36" spans="1:12">
      <c r="D36" s="5" t="s">
        <v>66</v>
      </c>
      <c r="E36" s="11">
        <f>SUM(E6:E33)</f>
        <v>100</v>
      </c>
      <c r="F36" s="6"/>
      <c r="G36" s="5"/>
      <c r="H36" s="5"/>
      <c r="I36" s="5"/>
      <c r="J36" s="5"/>
      <c r="K36" s="5"/>
      <c r="L36" s="5"/>
    </row>
    <row r="37" spans="1:12">
      <c r="E37" t="s">
        <v>29</v>
      </c>
      <c r="F37">
        <f>SUM(F6:F33)</f>
        <v>100</v>
      </c>
      <c r="G37">
        <f>SUM(G6:G33)</f>
        <v>89</v>
      </c>
      <c r="H37">
        <f>SUM(H6:H33)</f>
        <v>75</v>
      </c>
      <c r="I37">
        <f>SUM(I6:I33)</f>
        <v>59</v>
      </c>
      <c r="J37">
        <f>SUM(J6:J33)</f>
        <v>40</v>
      </c>
      <c r="K37">
        <f>SUM(K6:K33)</f>
        <v>28</v>
      </c>
      <c r="L37">
        <f>SUM(L6:L33)</f>
        <v>0</v>
      </c>
    </row>
  </sheetData>
  <mergeCells count="10">
    <mergeCell ref="A21:A33"/>
    <mergeCell ref="B21:B33"/>
    <mergeCell ref="B6:B20"/>
    <mergeCell ref="A6:A20"/>
    <mergeCell ref="F4:L4"/>
    <mergeCell ref="A4:A5"/>
    <mergeCell ref="B4:B5"/>
    <mergeCell ref="C4:C5"/>
    <mergeCell ref="D4:D5"/>
    <mergeCell ref="E4:E5"/>
  </mergeCells>
  <hyperlinks>
    <hyperlink ref="C3" r:id="rId1" display="https://docs.aigen.online/" xr:uid="{D338B097-83C6-4964-B2CF-AB96496186E0}"/>
  </hyperlinks>
  <pageMargins left="0.7" right="0.7" top="0.75" bottom="0.75" header="0.3" footer="0.3"/>
  <pageSetup paperSize="9" orientation="landscape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EC4DC-D65C-4D4E-9AB4-EA64AE71BC71}">
  <dimension ref="A1:AW26"/>
  <sheetViews>
    <sheetView tabSelected="1" workbookViewId="0">
      <selection activeCell="Y6" sqref="Y6"/>
    </sheetView>
  </sheetViews>
  <sheetFormatPr defaultRowHeight="13.5"/>
  <cols>
    <col min="2" max="2" width="17.5" bestFit="1" customWidth="1"/>
    <col min="3" max="3" width="36" bestFit="1" customWidth="1"/>
    <col min="4" max="4" width="41.125" customWidth="1"/>
    <col min="5" max="5" width="28.375" bestFit="1" customWidth="1"/>
    <col min="6" max="6" width="22.875" customWidth="1"/>
    <col min="18" max="18" width="14.875" bestFit="1" customWidth="1"/>
  </cols>
  <sheetData>
    <row r="1" spans="1:18">
      <c r="A1" t="s">
        <v>0</v>
      </c>
    </row>
    <row r="3" spans="1:18">
      <c r="A3" s="46" t="s">
        <v>1</v>
      </c>
      <c r="B3" s="50" t="s">
        <v>2</v>
      </c>
      <c r="C3" s="52" t="s">
        <v>3</v>
      </c>
      <c r="D3" s="54" t="s">
        <v>67</v>
      </c>
      <c r="E3" s="44" t="s">
        <v>4</v>
      </c>
      <c r="F3" s="46" t="s">
        <v>5</v>
      </c>
      <c r="G3" s="48" t="s">
        <v>6</v>
      </c>
      <c r="H3" s="48"/>
      <c r="I3" s="48"/>
      <c r="J3" s="48"/>
      <c r="K3" s="48"/>
      <c r="L3" s="48"/>
      <c r="M3" s="49"/>
    </row>
    <row r="4" spans="1:18">
      <c r="A4" s="47"/>
      <c r="B4" s="51"/>
      <c r="C4" s="53"/>
      <c r="D4" s="55"/>
      <c r="E4" s="45"/>
      <c r="F4" s="47"/>
      <c r="G4" s="15">
        <v>1</v>
      </c>
      <c r="H4" s="15">
        <v>2</v>
      </c>
      <c r="I4" s="15">
        <v>3</v>
      </c>
      <c r="J4" s="15">
        <v>4</v>
      </c>
      <c r="K4" s="15">
        <v>5</v>
      </c>
      <c r="L4" s="15">
        <v>6</v>
      </c>
      <c r="M4" s="15">
        <v>7</v>
      </c>
    </row>
    <row r="5" spans="1:18" ht="122.25" customHeight="1">
      <c r="A5" s="43">
        <v>13</v>
      </c>
      <c r="B5" s="42" t="s">
        <v>68</v>
      </c>
      <c r="C5" s="56" t="s">
        <v>69</v>
      </c>
      <c r="D5" s="57" t="s">
        <v>70</v>
      </c>
      <c r="E5" s="56" t="s">
        <v>71</v>
      </c>
      <c r="F5" s="56">
        <v>4</v>
      </c>
      <c r="G5" s="56">
        <v>4</v>
      </c>
      <c r="H5" s="56">
        <v>4</v>
      </c>
      <c r="I5" s="56">
        <v>4</v>
      </c>
      <c r="J5" s="56">
        <v>3</v>
      </c>
      <c r="K5" s="56">
        <v>2</v>
      </c>
      <c r="L5" s="56">
        <v>1</v>
      </c>
      <c r="M5" s="56">
        <v>0</v>
      </c>
      <c r="O5" s="13"/>
    </row>
    <row r="6" spans="1:18" ht="122.25" customHeight="1">
      <c r="A6" s="43"/>
      <c r="B6" s="42"/>
      <c r="C6" s="56" t="s">
        <v>72</v>
      </c>
      <c r="D6" s="57" t="s">
        <v>73</v>
      </c>
      <c r="E6" s="56" t="s">
        <v>74</v>
      </c>
      <c r="F6" s="56">
        <v>2</v>
      </c>
      <c r="G6" s="56">
        <v>2</v>
      </c>
      <c r="H6" s="56">
        <v>2</v>
      </c>
      <c r="I6" s="58">
        <v>0</v>
      </c>
      <c r="J6" s="56">
        <v>0</v>
      </c>
      <c r="K6" s="56">
        <v>0</v>
      </c>
      <c r="L6" s="56">
        <v>0</v>
      </c>
      <c r="M6" s="56">
        <v>0</v>
      </c>
      <c r="O6" s="13"/>
    </row>
    <row r="7" spans="1:18" ht="136.5" customHeight="1">
      <c r="A7" s="43"/>
      <c r="B7" s="42"/>
      <c r="C7" s="18" t="s">
        <v>75</v>
      </c>
      <c r="D7" s="16" t="s">
        <v>76</v>
      </c>
      <c r="E7" s="14" t="s">
        <v>51</v>
      </c>
      <c r="F7" s="14" t="s">
        <v>77</v>
      </c>
      <c r="G7" s="14" t="s">
        <v>77</v>
      </c>
      <c r="H7" s="14" t="s">
        <v>77</v>
      </c>
      <c r="I7" s="14" t="s">
        <v>77</v>
      </c>
      <c r="J7" s="14" t="s">
        <v>77</v>
      </c>
      <c r="K7" s="59">
        <v>0</v>
      </c>
      <c r="L7" s="14">
        <v>0</v>
      </c>
      <c r="M7" s="14">
        <v>0</v>
      </c>
      <c r="R7" t="s">
        <v>14</v>
      </c>
    </row>
    <row r="8" spans="1:18" ht="121.5" customHeight="1">
      <c r="A8" s="43"/>
      <c r="B8" s="42"/>
      <c r="C8" s="18" t="s">
        <v>78</v>
      </c>
      <c r="D8" s="16" t="s">
        <v>79</v>
      </c>
      <c r="E8" s="14" t="s">
        <v>80</v>
      </c>
      <c r="F8" s="14" t="s">
        <v>81</v>
      </c>
      <c r="G8" s="14" t="s">
        <v>81</v>
      </c>
      <c r="H8" s="14" t="s">
        <v>81</v>
      </c>
      <c r="I8" s="14" t="s">
        <v>81</v>
      </c>
      <c r="J8" s="59" t="s">
        <v>82</v>
      </c>
      <c r="K8" s="59" t="s">
        <v>82</v>
      </c>
      <c r="L8" s="59" t="s">
        <v>82</v>
      </c>
      <c r="M8" s="59" t="s">
        <v>82</v>
      </c>
    </row>
    <row r="9" spans="1:18" ht="127.5" customHeight="1">
      <c r="A9" s="43"/>
      <c r="B9" s="42"/>
      <c r="C9" s="18" t="s">
        <v>83</v>
      </c>
      <c r="D9" s="16" t="s">
        <v>84</v>
      </c>
      <c r="E9" s="14" t="s">
        <v>85</v>
      </c>
      <c r="F9" s="14" t="s">
        <v>86</v>
      </c>
      <c r="G9" s="14">
        <v>3</v>
      </c>
      <c r="H9" s="14">
        <v>3</v>
      </c>
      <c r="I9" s="14">
        <v>3</v>
      </c>
      <c r="J9" s="59" t="s">
        <v>82</v>
      </c>
      <c r="K9" s="59" t="s">
        <v>82</v>
      </c>
      <c r="L9" s="59" t="s">
        <v>82</v>
      </c>
      <c r="M9" s="59" t="s">
        <v>82</v>
      </c>
    </row>
    <row r="10" spans="1:18" ht="121.5" customHeight="1">
      <c r="A10" s="43"/>
      <c r="B10" s="42"/>
      <c r="C10" s="18" t="s">
        <v>87</v>
      </c>
      <c r="D10" s="16" t="s">
        <v>88</v>
      </c>
      <c r="E10" s="14" t="s">
        <v>80</v>
      </c>
      <c r="F10" s="14" t="s">
        <v>89</v>
      </c>
      <c r="G10" s="14" t="s">
        <v>89</v>
      </c>
      <c r="H10" s="14" t="s">
        <v>89</v>
      </c>
      <c r="I10" s="14" t="s">
        <v>89</v>
      </c>
      <c r="J10" s="59" t="s">
        <v>89</v>
      </c>
      <c r="K10" s="59" t="s">
        <v>82</v>
      </c>
      <c r="L10" s="59" t="s">
        <v>82</v>
      </c>
      <c r="M10" s="59" t="s">
        <v>82</v>
      </c>
    </row>
    <row r="11" spans="1:18" ht="108" customHeight="1">
      <c r="A11" s="43"/>
      <c r="B11" s="42"/>
      <c r="C11" s="14" t="s">
        <v>90</v>
      </c>
      <c r="D11" s="16" t="s">
        <v>91</v>
      </c>
      <c r="E11" s="56" t="s">
        <v>51</v>
      </c>
      <c r="F11" s="56">
        <v>2</v>
      </c>
      <c r="G11" s="56">
        <v>2</v>
      </c>
      <c r="H11" s="56">
        <v>2</v>
      </c>
      <c r="I11" s="56">
        <v>2</v>
      </c>
      <c r="J11" s="58">
        <v>2</v>
      </c>
      <c r="K11" s="58">
        <v>0</v>
      </c>
      <c r="L11" s="58">
        <v>0</v>
      </c>
      <c r="M11" s="58">
        <v>0</v>
      </c>
    </row>
    <row r="12" spans="1:18" ht="96" customHeight="1">
      <c r="A12" s="43"/>
      <c r="B12" s="42"/>
      <c r="C12" s="56" t="s">
        <v>92</v>
      </c>
      <c r="D12" s="16" t="s">
        <v>93</v>
      </c>
      <c r="E12" s="56" t="s">
        <v>51</v>
      </c>
      <c r="F12" s="56">
        <v>4</v>
      </c>
      <c r="G12" s="56">
        <v>4</v>
      </c>
      <c r="H12" s="56">
        <v>4</v>
      </c>
      <c r="I12" s="56">
        <v>4</v>
      </c>
      <c r="J12" s="58">
        <v>4</v>
      </c>
      <c r="K12" s="58">
        <v>4</v>
      </c>
      <c r="L12" s="58">
        <v>0</v>
      </c>
      <c r="M12" s="58">
        <v>0</v>
      </c>
      <c r="R12" t="s">
        <v>94</v>
      </c>
    </row>
    <row r="13" spans="1:18" ht="121.5" customHeight="1">
      <c r="A13" s="43"/>
      <c r="B13" s="42"/>
      <c r="C13" s="56" t="s">
        <v>95</v>
      </c>
      <c r="D13" s="16" t="s">
        <v>96</v>
      </c>
      <c r="E13" s="17" t="s">
        <v>32</v>
      </c>
      <c r="F13" s="17">
        <v>2</v>
      </c>
      <c r="G13" s="17">
        <v>2</v>
      </c>
      <c r="H13" s="17">
        <v>2</v>
      </c>
      <c r="I13" s="17">
        <v>2</v>
      </c>
      <c r="J13" s="60">
        <v>2</v>
      </c>
      <c r="K13" s="60">
        <v>2</v>
      </c>
      <c r="L13" s="60">
        <v>0</v>
      </c>
      <c r="M13" s="60">
        <v>0</v>
      </c>
    </row>
    <row r="14" spans="1:18" ht="41.25" customHeight="1">
      <c r="A14" s="43"/>
      <c r="B14" s="42"/>
      <c r="C14" s="56" t="s">
        <v>97</v>
      </c>
      <c r="D14" s="17" t="s">
        <v>98</v>
      </c>
      <c r="E14" s="17" t="s">
        <v>44</v>
      </c>
      <c r="F14" s="17">
        <v>2</v>
      </c>
      <c r="G14" s="17">
        <v>2</v>
      </c>
      <c r="H14" s="17">
        <v>2</v>
      </c>
      <c r="I14" s="17">
        <v>2</v>
      </c>
      <c r="J14" s="60">
        <v>2</v>
      </c>
      <c r="K14" s="60">
        <v>2</v>
      </c>
      <c r="L14" s="60">
        <v>0</v>
      </c>
      <c r="M14" s="60">
        <v>0</v>
      </c>
    </row>
    <row r="15" spans="1:18" ht="121.5" customHeight="1">
      <c r="A15" s="43"/>
      <c r="B15" s="42"/>
      <c r="C15" s="56" t="s">
        <v>99</v>
      </c>
      <c r="D15" s="17" t="s">
        <v>100</v>
      </c>
      <c r="E15" s="17" t="s">
        <v>56</v>
      </c>
      <c r="F15" s="17">
        <v>3</v>
      </c>
      <c r="G15" s="19">
        <v>3</v>
      </c>
      <c r="H15" s="19">
        <v>3</v>
      </c>
      <c r="I15" s="19">
        <v>3</v>
      </c>
      <c r="J15" s="61">
        <v>3</v>
      </c>
      <c r="K15" s="61">
        <v>3</v>
      </c>
      <c r="L15" s="61">
        <v>3</v>
      </c>
      <c r="M15" s="60">
        <v>0</v>
      </c>
    </row>
    <row r="16" spans="1:18" ht="30.75" customHeight="1">
      <c r="A16" s="43"/>
      <c r="B16" s="42"/>
      <c r="C16" s="56" t="s">
        <v>101</v>
      </c>
      <c r="D16" s="16" t="s">
        <v>102</v>
      </c>
      <c r="E16" s="56" t="s">
        <v>53</v>
      </c>
      <c r="F16" s="56">
        <v>4</v>
      </c>
      <c r="G16" s="56">
        <v>4</v>
      </c>
      <c r="H16" s="56">
        <v>4</v>
      </c>
      <c r="I16" s="56">
        <v>4</v>
      </c>
      <c r="J16" s="56">
        <v>4</v>
      </c>
      <c r="K16" s="56">
        <v>4</v>
      </c>
      <c r="L16" s="56">
        <v>4</v>
      </c>
      <c r="M16" s="56">
        <v>0</v>
      </c>
      <c r="R16" t="s">
        <v>103</v>
      </c>
    </row>
    <row r="17" spans="5:49">
      <c r="E17" t="s">
        <v>104</v>
      </c>
      <c r="F17">
        <v>41</v>
      </c>
      <c r="G17">
        <v>41</v>
      </c>
      <c r="H17">
        <v>41</v>
      </c>
      <c r="I17">
        <v>39</v>
      </c>
      <c r="J17">
        <v>24</v>
      </c>
      <c r="K17">
        <v>15</v>
      </c>
      <c r="L17">
        <v>8</v>
      </c>
      <c r="M17">
        <f>SUM(M5:M16)</f>
        <v>0</v>
      </c>
      <c r="R17" t="s">
        <v>105</v>
      </c>
    </row>
    <row r="24" spans="5:49">
      <c r="AW24" t="s">
        <v>103</v>
      </c>
    </row>
    <row r="26" spans="5:49">
      <c r="R26" t="s">
        <v>103</v>
      </c>
    </row>
  </sheetData>
  <mergeCells count="9">
    <mergeCell ref="B5:B16"/>
    <mergeCell ref="A5:A16"/>
    <mergeCell ref="E3:E4"/>
    <mergeCell ref="F3:F4"/>
    <mergeCell ref="G3:M3"/>
    <mergeCell ref="D3:D4"/>
    <mergeCell ref="A3:A4"/>
    <mergeCell ref="B3:B4"/>
    <mergeCell ref="C3:C4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CBCD0499661E4F8CEB9BC41B73988A" ma:contentTypeVersion="9" ma:contentTypeDescription="Create a new document." ma:contentTypeScope="" ma:versionID="ac957a468273b5a6056cffd917834042">
  <xsd:schema xmlns:xsd="http://www.w3.org/2001/XMLSchema" xmlns:xs="http://www.w3.org/2001/XMLSchema" xmlns:p="http://schemas.microsoft.com/office/2006/metadata/properties" xmlns:ns3="1da1b77c-be6f-4283-bdc3-a864e6ffa65f" xmlns:ns4="27800bdc-de70-4253-ae86-8fb0c73360b1" targetNamespace="http://schemas.microsoft.com/office/2006/metadata/properties" ma:root="true" ma:fieldsID="b13ca1c24c4c925b8648861ed3a42e90" ns3:_="" ns4:_="">
    <xsd:import namespace="1da1b77c-be6f-4283-bdc3-a864e6ffa65f"/>
    <xsd:import namespace="27800bdc-de70-4253-ae86-8fb0c73360b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a1b77c-be6f-4283-bdc3-a864e6ffa65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800bdc-de70-4253-ae86-8fb0c73360b1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da1b77c-be6f-4283-bdc3-a864e6ffa65f" xsi:nil="true"/>
  </documentManagement>
</p:properties>
</file>

<file path=customXml/itemProps1.xml><?xml version="1.0" encoding="utf-8"?>
<ds:datastoreItem xmlns:ds="http://schemas.openxmlformats.org/officeDocument/2006/customXml" ds:itemID="{A225ECBD-CEF7-43BD-B29C-638747E39529}"/>
</file>

<file path=customXml/itemProps2.xml><?xml version="1.0" encoding="utf-8"?>
<ds:datastoreItem xmlns:ds="http://schemas.openxmlformats.org/officeDocument/2006/customXml" ds:itemID="{DA0F1ABF-0CA2-4BCF-946C-0E5FBA6ED536}"/>
</file>

<file path=customXml/itemProps3.xml><?xml version="1.0" encoding="utf-8"?>
<ds:datastoreItem xmlns:ds="http://schemas.openxmlformats.org/officeDocument/2006/customXml" ds:itemID="{D3E87BB5-EA3E-44BB-A240-1B5BA31137F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Weerawong Hongsa</dc:creator>
  <cp:keywords/>
  <dc:description/>
  <cp:lastModifiedBy/>
  <cp:revision/>
  <dcterms:created xsi:type="dcterms:W3CDTF">2026-02-17T11:14:30Z</dcterms:created>
  <dcterms:modified xsi:type="dcterms:W3CDTF">2026-03-17T16:30:35Z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0x010100AFCBCD0499661E4F8CEB9BC41B73988A</vt:lpwstr>
  </property>
</Properties>
</file>